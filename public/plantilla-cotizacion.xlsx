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2"/>
  </bookViews>
  <sheets>
    <sheet sheetId="3" name="Plantilla" state="visible" r:id="rId4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color indexed="81"/>
            <family val="2"/>
            <sz val="9"/>
            <rFont val="Tahoma"/>
          </rPr>
          <t>ADMINISTRATIVO:</t>
        </r>
        <r>
          <rPr>
            <color indexed="81"/>
            <family val="2"/>
            <sz val="9"/>
            <rFont val="Tahoma"/>
          </rPr>
          <t xml:space="preserve">
lote 7344 432 und
20 segundas
4,6%</t>
        </r>
      </text>
    </comment>
  </commentList>
</comments>
</file>

<file path=xl/sharedStrings.xml><?xml version="1.0" encoding="utf-8"?>
<sst xmlns="http://schemas.openxmlformats.org/spreadsheetml/2006/main" count="122" uniqueCount="79">
  <si>
    <t>REFERENCIA</t>
  </si>
  <si>
    <t>TELAS</t>
  </si>
  <si>
    <t>CÓDIGO.</t>
  </si>
  <si>
    <t>MATERIAL</t>
  </si>
  <si>
    <t>Precio kg</t>
  </si>
  <si>
    <t>Rendimiento</t>
  </si>
  <si>
    <t>Precio m</t>
  </si>
  <si>
    <t>ANCHO</t>
  </si>
  <si>
    <t>%PART COSTO</t>
  </si>
  <si>
    <t>%PART TOTAL</t>
  </si>
  <si>
    <t>ENTRADA 3</t>
  </si>
  <si>
    <t>PRECIO 3</t>
  </si>
  <si>
    <t xml:space="preserve">FECHA </t>
  </si>
  <si>
    <t>ENTRADA 2</t>
  </si>
  <si>
    <t>PRECIO 2</t>
  </si>
  <si>
    <t>ENTRADA 1</t>
  </si>
  <si>
    <t>PRECIO 1</t>
  </si>
  <si>
    <t>AMORELA</t>
  </si>
  <si>
    <t>CONSUMO POR UNIDAD</t>
  </si>
  <si>
    <t>metros</t>
  </si>
  <si>
    <t>metros²</t>
  </si>
  <si>
    <t>Precio/unidad</t>
  </si>
  <si>
    <t>COMP.</t>
  </si>
  <si>
    <t>87 POL - 13 SPAN</t>
  </si>
  <si>
    <t>INSUMOS</t>
  </si>
  <si>
    <t>NOMBRE INSUMO</t>
  </si>
  <si>
    <t>Precio ud ins.</t>
  </si>
  <si>
    <t>Cons. por prenda</t>
  </si>
  <si>
    <t>Precio por prenda</t>
  </si>
  <si>
    <t>MLLANYL87%PL-13%EA</t>
  </si>
  <si>
    <t>ETIQUETA KML #2 X2</t>
  </si>
  <si>
    <t>BOLSA ZIPPER KML</t>
  </si>
  <si>
    <t>BOLSA DOCENA 14X22</t>
  </si>
  <si>
    <t>VINILO REFLECTIVO</t>
  </si>
  <si>
    <t>VAD-kml-3cm</t>
  </si>
  <si>
    <t>FASTDRY POLIAMIDA 3CM</t>
  </si>
  <si>
    <t>CIF</t>
  </si>
  <si>
    <t>PROCESOS</t>
  </si>
  <si>
    <t>Corte</t>
  </si>
  <si>
    <t>Confección</t>
  </si>
  <si>
    <t>Aplique DTF</t>
  </si>
  <si>
    <t>Corte vinilo</t>
  </si>
  <si>
    <t>Espiga</t>
  </si>
  <si>
    <t>Descartonado</t>
  </si>
  <si>
    <t>Bajada de vinilo</t>
  </si>
  <si>
    <t>10% termo imprevistos</t>
  </si>
  <si>
    <t>Terminación</t>
  </si>
  <si>
    <t>IMPUESTOS Y ADMINISTRATIVOS</t>
  </si>
  <si>
    <t>COSTO DEFINITIVO</t>
  </si>
  <si>
    <t>GESTION DE PRECIOS DE VENTA BRUTO</t>
  </si>
  <si>
    <t>COSTO + DAÑOS FABRICACION  (1,5%)</t>
  </si>
  <si>
    <t>COSTO FINAL</t>
  </si>
  <si>
    <t>ICA</t>
  </si>
  <si>
    <t>P VENTA FINAL</t>
  </si>
  <si>
    <t>GASTOS BANCARIOS</t>
  </si>
  <si>
    <t>UTILIDAD BRUTA</t>
  </si>
  <si>
    <t>RETENCION EN LA FUENTE</t>
  </si>
  <si>
    <t>% MARGEN ESPERADO</t>
  </si>
  <si>
    <t>AUTORENTA</t>
  </si>
  <si>
    <t>RENTA</t>
  </si>
  <si>
    <t>AREA DE BODEGA</t>
  </si>
  <si>
    <t>AREA DE DISEÑO</t>
  </si>
  <si>
    <t>AREA ADMINISTRATIVA</t>
  </si>
  <si>
    <t>AREA DE TERMOFIJACION/SUBLIMACION</t>
  </si>
  <si>
    <t>AREA DE EMPAQUE</t>
  </si>
  <si>
    <t>GESTION DE PRECIOS DE VENTA FULL</t>
  </si>
  <si>
    <t>TRANSPORTE</t>
  </si>
  <si>
    <t>SERVICIOS</t>
  </si>
  <si>
    <t>TOTAL COSTO SIN IVA</t>
  </si>
  <si>
    <t>UTILIDAD NETA</t>
  </si>
  <si>
    <t>P VENTA + IVA</t>
  </si>
  <si>
    <t>BASE UTILIDAD</t>
  </si>
  <si>
    <t>UTILIDAD</t>
  </si>
  <si>
    <t>PRECIO DE VENTA</t>
  </si>
  <si>
    <t>IVA</t>
  </si>
  <si>
    <t>VENTA IVA INCLUIDO</t>
  </si>
  <si>
    <t>COSTO TOTAL REFERENCIA</t>
  </si>
  <si>
    <t>RENTABILIDAD</t>
  </si>
  <si>
    <t>GASTOS FINANCIEROS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</si>
</sst>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$&quot; * #,##0.00_-;-&quot;$&quot; * #,##0.00_-;_-&quot;$&quot; * &quot;-&quot;??_-;_-@_-"/>
    <numFmt numFmtId="165" formatCode="0.00000"/>
  </numFmts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family val="2"/>
      <scheme val="minor"/>
      <sz val="11"/>
      <name val="Calibri"/>
    </font>
    <font>
      <family val="2"/>
      <scheme val="minor"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2" tint="-0.0999786370433668"/>
        <bgColor rgb="FFFFFF00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rgb="FFFFFF00"/>
      </patternFill>
    </fill>
    <fill>
      <patternFill patternType="solid">
        <fgColor theme="0" tint="-0.1499984740745262"/>
        <bgColor rgb="FFFFFF00"/>
      </patternFill>
    </fill>
    <fill>
      <patternFill patternType="solid">
        <fgColor rgb="FF92D050"/>
        <bgColor rgb="FFFFFF00"/>
      </patternFill>
    </fill>
    <fill>
      <patternFill patternType="solid">
        <fgColor theme="9" tint="0.7999816888943144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theme="6" tint="0.5999938962981048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164" fontId="0" fillId="5" borderId="14" xfId="0" applyNumberFormat="1" applyFill="1" applyBorder="1" applyAlignment="1">
      <alignment horizontal="center"/>
    </xf>
    <xf numFmtId="164" fontId="0" fillId="5" borderId="15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5" borderId="19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164" fontId="0" fillId="5" borderId="20" xfId="0" applyNumberFormat="1" applyFill="1" applyBorder="1" applyAlignment="1">
      <alignment horizontal="center"/>
    </xf>
    <xf numFmtId="164" fontId="0" fillId="5" borderId="21" xfId="0" applyNumberForma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/>
    <xf numFmtId="10" fontId="0" fillId="0" borderId="0" xfId="0" applyNumberFormat="1" applyAlignment="1">
      <alignment horizontal="center"/>
    </xf>
    <xf numFmtId="164" fontId="0" fillId="5" borderId="24" xfId="0" applyNumberFormat="1" applyFill="1" applyBorder="1" applyAlignment="1">
      <alignment horizontal="center"/>
    </xf>
    <xf numFmtId="164" fontId="0" fillId="7" borderId="25" xfId="0" applyNumberForma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164" fontId="0" fillId="0" borderId="17" xfId="0" applyNumberFormat="1" applyBorder="1"/>
    <xf numFmtId="14" fontId="0" fillId="0" borderId="17" xfId="0" applyNumberFormat="1" applyBorder="1"/>
    <xf numFmtId="164" fontId="0" fillId="0" borderId="20" xfId="0" applyNumberFormat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164" fontId="0" fillId="5" borderId="30" xfId="0" applyNumberFormat="1" applyFill="1" applyBorder="1" applyAlignment="1">
      <alignment horizontal="center"/>
    </xf>
    <xf numFmtId="164" fontId="0" fillId="5" borderId="23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31" xfId="0" applyBorder="1" applyAlignment="1">
      <alignment horizontal="center"/>
    </xf>
    <xf numFmtId="164" fontId="0" fillId="5" borderId="32" xfId="0" applyNumberForma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14" xfId="0" applyNumberFormat="1" applyBorder="1"/>
    <xf numFmtId="164" fontId="0" fillId="0" borderId="15" xfId="0" applyNumberFormat="1" applyBorder="1"/>
    <xf numFmtId="0" fontId="1" fillId="4" borderId="2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164" fontId="0" fillId="0" borderId="20" xfId="0" applyNumberFormat="1" applyBorder="1"/>
    <xf numFmtId="164" fontId="0" fillId="7" borderId="21" xfId="0" applyNumberFormat="1" applyFill="1" applyBorder="1"/>
    <xf numFmtId="164" fontId="0" fillId="0" borderId="15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21" xfId="0" applyNumberFormat="1" applyBorder="1"/>
    <xf numFmtId="164" fontId="0" fillId="0" borderId="21" xfId="0" applyNumberFormat="1" applyBorder="1" applyAlignment="1">
      <alignment horizontal="center"/>
    </xf>
    <xf numFmtId="10" fontId="1" fillId="0" borderId="24" xfId="0" applyNumberFormat="1" applyFont="1" applyBorder="1" applyAlignment="1">
      <alignment horizontal="center"/>
    </xf>
    <xf numFmtId="164" fontId="0" fillId="0" borderId="23" xfId="0" applyNumberFormat="1" applyBorder="1"/>
    <xf numFmtId="164" fontId="0" fillId="0" borderId="24" xfId="0" applyNumberFormat="1" applyBorder="1"/>
    <xf numFmtId="0" fontId="0" fillId="0" borderId="17" xfId="0" applyBorder="1" applyAlignment="1">
      <alignment horizontal="center"/>
    </xf>
    <xf numFmtId="164" fontId="0" fillId="6" borderId="18" xfId="0" applyNumberFormat="1" applyFill="1" applyBorder="1"/>
    <xf numFmtId="164" fontId="0" fillId="6" borderId="21" xfId="0" applyNumberFormat="1" applyFill="1" applyBorder="1"/>
    <xf numFmtId="164" fontId="0" fillId="6" borderId="34" xfId="0" applyNumberFormat="1" applyFill="1" applyBorder="1"/>
    <xf numFmtId="0" fontId="0" fillId="0" borderId="35" xfId="0" applyBorder="1" applyAlignment="1">
      <alignment horizontal="center"/>
    </xf>
    <xf numFmtId="164" fontId="0" fillId="6" borderId="24" xfId="0" applyNumberFormat="1" applyFill="1" applyBorder="1"/>
    <xf numFmtId="164" fontId="0" fillId="6" borderId="21" xfId="0" applyNumberForma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29" xfId="0" applyBorder="1" applyAlignment="1">
      <alignment horizontal="center"/>
    </xf>
    <xf numFmtId="164" fontId="0" fillId="7" borderId="32" xfId="0" applyNumberFormat="1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10" fontId="1" fillId="6" borderId="24" xfId="0" applyNumberFormat="1" applyFont="1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164" fontId="0" fillId="8" borderId="21" xfId="0" applyNumberFormat="1" applyFill="1" applyBorder="1" applyAlignment="1">
      <alignment horizontal="center"/>
    </xf>
    <xf numFmtId="164" fontId="0" fillId="10" borderId="21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164" fontId="0" fillId="8" borderId="24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164" fontId="0" fillId="12" borderId="18" xfId="0" applyNumberFormat="1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164" fontId="0" fillId="11" borderId="21" xfId="0" applyNumberFormat="1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10" fontId="0" fillId="11" borderId="24" xfId="0" applyNumberForma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1" fillId="13" borderId="33" xfId="0" applyNumberFormat="1" applyFont="1" applyFill="1" applyBorder="1" applyAlignment="1">
      <alignment horizontal="center"/>
    </xf>
    <xf numFmtId="164" fontId="1" fillId="13" borderId="36" xfId="0" applyNumberFormat="1" applyFont="1" applyFill="1" applyBorder="1" applyAlignment="1">
      <alignment horizontal="center"/>
    </xf>
    <xf numFmtId="164" fontId="1" fillId="13" borderId="37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R92"/>
  <sheetViews>
    <sheetView workbookViewId="0" zoomScale="100" zoomScaleNormal="100">
      <selection activeCell="D29" sqref="D29"/>
    </sheetView>
  </sheetViews>
  <sheetFormatPr defaultRowHeight="15" outlineLevelRow="0" outlineLevelCol="0" x14ac:dyDescent="0.25"/>
  <cols>
    <col min="2" max="2" width="14" customWidth="1"/>
    <col min="3" max="3" width="37.7109375" customWidth="1"/>
    <col min="4" max="4" width="14.140625" customWidth="1"/>
    <col min="5" max="5" width="17.5703125" customWidth="1"/>
    <col min="6" max="6" width="18.42578125" customWidth="1"/>
    <col min="7" max="7" width="12.85546875" customWidth="1"/>
    <col min="8" max="9" width="11.5703125" customWidth="1"/>
    <col min="10" max="10" width="20.7109375" customWidth="1"/>
    <col min="11" max="11" width="12.140625" customWidth="1"/>
    <col min="12" max="12" width="11.5703125" customWidth="1"/>
    <col min="13" max="13" width="20.7109375" customWidth="1"/>
    <col min="14" max="14" width="12" customWidth="1"/>
    <col min="15" max="15" width="11.5703125" customWidth="1"/>
    <col min="16" max="16" width="20.7109375" customWidth="1"/>
    <col min="17" max="17" width="12" customWidth="1"/>
  </cols>
  <sheetData>
    <row r="1" ht="15.75" customHeight="1" spans="2:2" x14ac:dyDescent="0.25">
      <c r="B1" s="1">
        <v>46295</v>
      </c>
    </row>
    <row r="2" ht="15.75" customHeight="1" spans="2:6" x14ac:dyDescent="0.25">
      <c r="B2" s="2" t="s">
        <v>0</v>
      </c>
      <c r="C2" s="3"/>
      <c r="D2" s="4">
        <v>975093</v>
      </c>
      <c r="E2" s="4"/>
      <c r="F2" s="5"/>
    </row>
    <row r="3" ht="15.75" customHeight="1" x14ac:dyDescent="0.25"/>
    <row r="4" ht="15.75" customHeight="1" spans="2:6" x14ac:dyDescent="0.25">
      <c r="B4" s="6" t="s">
        <v>1</v>
      </c>
      <c r="C4" s="7"/>
      <c r="D4" s="7"/>
      <c r="E4" s="7"/>
      <c r="F4" s="8"/>
    </row>
    <row r="5" ht="15.75" customHeight="1" spans="2:18" x14ac:dyDescent="0.25">
      <c r="B5" s="9" t="s">
        <v>2</v>
      </c>
      <c r="C5" s="10" t="s">
        <v>3</v>
      </c>
      <c r="D5" s="10" t="s">
        <v>4</v>
      </c>
      <c r="E5" s="10" t="s">
        <v>5</v>
      </c>
      <c r="F5" s="11" t="s">
        <v>6</v>
      </c>
      <c r="G5" s="12" t="s">
        <v>7</v>
      </c>
      <c r="H5" s="13" t="s">
        <v>8</v>
      </c>
      <c r="I5" s="13" t="s">
        <v>9</v>
      </c>
      <c r="J5" s="14" t="s">
        <v>10</v>
      </c>
      <c r="K5" s="15" t="s">
        <v>11</v>
      </c>
      <c r="L5" s="16" t="s">
        <v>12</v>
      </c>
      <c r="M5" s="15" t="s">
        <v>13</v>
      </c>
      <c r="N5" s="16" t="s">
        <v>14</v>
      </c>
      <c r="O5" s="15" t="s">
        <v>12</v>
      </c>
      <c r="P5" s="16" t="s">
        <v>15</v>
      </c>
      <c r="Q5" s="15" t="s">
        <v>16</v>
      </c>
      <c r="R5" s="17" t="s">
        <v>12</v>
      </c>
    </row>
    <row r="6" ht="15.75" customHeight="1" spans="2:18" x14ac:dyDescent="0.25">
      <c r="B6" s="18">
        <v>26</v>
      </c>
      <c r="C6" s="19" t="s">
        <v>17</v>
      </c>
      <c r="D6" s="20">
        <v>8719.98</v>
      </c>
      <c r="E6" s="19">
        <v>1</v>
      </c>
      <c r="F6" s="21">
        <f>D6/E6</f>
        <v>8719.98</v>
      </c>
      <c r="G6" s="22">
        <v>1.47</v>
      </c>
      <c r="J6" s="23">
        <v>19630</v>
      </c>
      <c r="K6" s="24">
        <v>8715.38</v>
      </c>
      <c r="L6" s="25">
        <v>46295</v>
      </c>
      <c r="M6" s="26"/>
      <c r="N6" s="26"/>
      <c r="O6" s="26"/>
      <c r="P6" s="26"/>
      <c r="Q6" s="26"/>
      <c r="R6" s="27"/>
    </row>
    <row r="7" ht="15.75" customHeight="1" spans="2:18" x14ac:dyDescent="0.25">
      <c r="B7" s="28"/>
      <c r="C7" s="29"/>
      <c r="D7" s="30"/>
      <c r="E7" s="29"/>
      <c r="F7" s="31"/>
      <c r="G7" s="22"/>
      <c r="J7" s="32"/>
      <c r="K7" s="33"/>
      <c r="L7" s="33"/>
      <c r="M7" s="34"/>
      <c r="N7" s="34"/>
      <c r="O7" s="34"/>
      <c r="P7" s="34"/>
      <c r="Q7" s="34"/>
      <c r="R7" s="35"/>
    </row>
    <row r="8" ht="15.75" customHeight="1" spans="2:18" x14ac:dyDescent="0.25">
      <c r="B8" s="28"/>
      <c r="C8" s="29"/>
      <c r="D8" s="30"/>
      <c r="E8" s="29"/>
      <c r="F8" s="31"/>
      <c r="G8" s="22"/>
      <c r="J8" s="32"/>
      <c r="K8" s="33"/>
      <c r="L8" s="33"/>
      <c r="M8" s="34"/>
      <c r="N8" s="34"/>
      <c r="O8" s="34"/>
      <c r="P8" s="34"/>
      <c r="Q8" s="34"/>
      <c r="R8" s="35"/>
    </row>
    <row r="9" ht="15.75" customHeight="1" spans="2:18" x14ac:dyDescent="0.25">
      <c r="B9" s="36"/>
      <c r="C9" s="29"/>
      <c r="D9" s="37"/>
      <c r="E9" s="37"/>
      <c r="F9" s="31"/>
      <c r="J9" s="38"/>
      <c r="K9" s="39"/>
      <c r="L9" s="39"/>
      <c r="M9" s="40"/>
      <c r="N9" s="40"/>
      <c r="O9" s="40"/>
      <c r="P9" s="40"/>
      <c r="Q9" s="40"/>
      <c r="R9" s="41"/>
    </row>
    <row r="10" ht="15.75" customHeight="1" spans="2:7" x14ac:dyDescent="0.25">
      <c r="B10" s="9" t="s">
        <v>2</v>
      </c>
      <c r="C10" s="10" t="s">
        <v>18</v>
      </c>
      <c r="D10" s="10" t="s">
        <v>19</v>
      </c>
      <c r="E10" s="10" t="s">
        <v>20</v>
      </c>
      <c r="F10" s="11" t="s">
        <v>21</v>
      </c>
      <c r="G10" s="12" t="s">
        <v>22</v>
      </c>
    </row>
    <row r="11" ht="15.75" customHeight="1" spans="2:9" x14ac:dyDescent="0.25">
      <c r="B11" s="18">
        <f t="shared" ref="B11:C11" si="0">B6</f>
        <v>26</v>
      </c>
      <c r="C11" s="19" t="str">
        <f t="shared" si="0"/>
        <v>AMORELA</v>
      </c>
      <c r="D11" s="19">
        <v>0.74</v>
      </c>
      <c r="E11" s="19">
        <f>D11*G6</f>
        <v>1.0877999999999999</v>
      </c>
      <c r="F11" s="21">
        <f>D11*F6</f>
        <v>6452.785199999999</v>
      </c>
      <c r="G11" s="22" t="s">
        <v>23</v>
      </c>
      <c r="H11" s="42">
        <f>F11/$D$74</f>
        <v>0.427986392397799</v>
      </c>
      <c r="I11" s="42">
        <f>F11/$D$74</f>
        <v>0.427986392397799</v>
      </c>
    </row>
    <row r="12" ht="15.75" customHeight="1" spans="2:9" x14ac:dyDescent="0.25">
      <c r="B12" s="28"/>
      <c r="C12" s="29"/>
      <c r="D12" s="29"/>
      <c r="E12" s="29"/>
      <c r="F12" s="31"/>
      <c r="G12" s="22"/>
      <c r="H12" s="42">
        <f t="shared" ref="H12:H13" si="1">F12/$D$74</f>
        <v>0</v>
      </c>
      <c r="I12" s="42">
        <f t="shared" ref="I12:I13" si="2">F12/$D$74</f>
        <v>0</v>
      </c>
    </row>
    <row r="13" spans="2:9" x14ac:dyDescent="0.25">
      <c r="B13" s="28"/>
      <c r="C13" s="29"/>
      <c r="D13" s="29"/>
      <c r="E13" s="29"/>
      <c r="F13" s="31"/>
      <c r="H13" s="42">
        <f t="shared" si="1"/>
        <v>0</v>
      </c>
      <c r="I13" s="42">
        <f t="shared" si="2"/>
        <v>0</v>
      </c>
    </row>
    <row r="14" ht="15.75" customHeight="1" spans="2:9" x14ac:dyDescent="0.25">
      <c r="B14" s="36"/>
      <c r="C14" s="37"/>
      <c r="D14" s="37"/>
      <c r="E14" s="37"/>
      <c r="F14" s="43"/>
      <c r="H14" s="42"/>
      <c r="I14" s="42"/>
    </row>
    <row r="15" ht="15.75" customHeight="1" spans="6:9" x14ac:dyDescent="0.25">
      <c r="F15" s="44">
        <f>SUM(F11:F14)</f>
        <v>6452.785199999999</v>
      </c>
      <c r="H15" s="42"/>
      <c r="I15" s="42"/>
    </row>
    <row r="16" ht="15.75" customHeight="1" spans="8:9" x14ac:dyDescent="0.25">
      <c r="H16" s="42"/>
      <c r="I16" s="42"/>
    </row>
    <row r="17" ht="15.75" customHeight="1" spans="2:9" x14ac:dyDescent="0.25">
      <c r="B17" s="6" t="s">
        <v>24</v>
      </c>
      <c r="C17" s="7"/>
      <c r="D17" s="7"/>
      <c r="E17" s="7"/>
      <c r="F17" s="8"/>
      <c r="H17" s="42"/>
      <c r="I17" s="42"/>
    </row>
    <row r="18" ht="15.75" customHeight="1" spans="2:18" x14ac:dyDescent="0.25">
      <c r="B18" s="45" t="s">
        <v>2</v>
      </c>
      <c r="C18" s="46" t="s">
        <v>25</v>
      </c>
      <c r="D18" s="46" t="s">
        <v>26</v>
      </c>
      <c r="E18" s="46" t="s">
        <v>27</v>
      </c>
      <c r="F18" s="47" t="s">
        <v>28</v>
      </c>
      <c r="J18" s="14" t="s">
        <v>10</v>
      </c>
      <c r="K18" s="15" t="s">
        <v>11</v>
      </c>
      <c r="L18" s="16" t="s">
        <v>12</v>
      </c>
      <c r="M18" s="15" t="s">
        <v>13</v>
      </c>
      <c r="N18" s="16" t="s">
        <v>14</v>
      </c>
      <c r="O18" s="15" t="s">
        <v>12</v>
      </c>
      <c r="P18" s="16" t="s">
        <v>15</v>
      </c>
      <c r="Q18" s="15" t="s">
        <v>16</v>
      </c>
      <c r="R18" s="17" t="s">
        <v>12</v>
      </c>
    </row>
    <row r="19" spans="2:18" x14ac:dyDescent="0.25">
      <c r="B19" s="18">
        <v>3851</v>
      </c>
      <c r="C19" s="19" t="s">
        <v>29</v>
      </c>
      <c r="D19" s="20">
        <v>50</v>
      </c>
      <c r="E19" s="19">
        <v>1</v>
      </c>
      <c r="F19" s="21">
        <f>D19*E19</f>
        <v>50</v>
      </c>
      <c r="H19" s="42">
        <f>F19/$F$59</f>
        <v>0.004091644590061893</v>
      </c>
      <c r="I19" s="42">
        <f>F19/$D$74</f>
        <v>0.0033162919509377056</v>
      </c>
      <c r="J19" s="23">
        <v>16362</v>
      </c>
      <c r="K19" s="24">
        <v>50</v>
      </c>
      <c r="L19" s="25">
        <v>45995</v>
      </c>
      <c r="M19" s="26">
        <v>14489</v>
      </c>
      <c r="N19" s="48">
        <v>50</v>
      </c>
      <c r="O19" s="49">
        <v>45874</v>
      </c>
      <c r="P19" s="26"/>
      <c r="Q19" s="26"/>
      <c r="R19" s="27"/>
    </row>
    <row r="20" spans="2:18" x14ac:dyDescent="0.25">
      <c r="B20" s="28">
        <v>3748</v>
      </c>
      <c r="C20" s="29" t="s">
        <v>30</v>
      </c>
      <c r="D20" s="30">
        <v>130</v>
      </c>
      <c r="E20" s="29">
        <v>1</v>
      </c>
      <c r="F20" s="31">
        <f t="shared" ref="F20:F37" si="3">D20*E20</f>
        <v>130</v>
      </c>
      <c r="H20" s="42">
        <f>F20/$F$59</f>
        <v>0.010638275934160921</v>
      </c>
      <c r="I20" s="42">
        <f t="shared" ref="I20:I38" si="4">F20/$D$74</f>
        <v>0.008622359072438034</v>
      </c>
      <c r="J20" s="32">
        <v>14740</v>
      </c>
      <c r="K20" s="50">
        <v>130</v>
      </c>
      <c r="L20" s="51">
        <v>45889</v>
      </c>
      <c r="M20" s="34"/>
      <c r="N20" s="34"/>
      <c r="O20" s="34"/>
      <c r="P20" s="34"/>
      <c r="Q20" s="34"/>
      <c r="R20" s="35"/>
    </row>
    <row r="21" spans="2:18" x14ac:dyDescent="0.25">
      <c r="B21" s="28"/>
      <c r="C21" s="29"/>
      <c r="D21" s="30"/>
      <c r="E21" s="29"/>
      <c r="F21" s="31"/>
      <c r="H21" s="42">
        <f t="shared" ref="H21:H38" si="5">F21/$F$59</f>
        <v>0</v>
      </c>
      <c r="I21" s="42">
        <f t="shared" si="4"/>
        <v>0</v>
      </c>
      <c r="J21" s="32"/>
      <c r="K21" s="50"/>
      <c r="L21" s="33"/>
      <c r="M21" s="34"/>
      <c r="N21" s="34"/>
      <c r="O21" s="34"/>
      <c r="P21" s="34"/>
      <c r="Q21" s="34"/>
      <c r="R21" s="35"/>
    </row>
    <row r="22" spans="2:18" x14ac:dyDescent="0.25">
      <c r="B22" s="28">
        <v>4621</v>
      </c>
      <c r="C22" s="29" t="s">
        <v>31</v>
      </c>
      <c r="D22" s="30">
        <v>1</v>
      </c>
      <c r="E22" s="29">
        <v>1</v>
      </c>
      <c r="F22" s="31">
        <f t="shared" si="3"/>
        <v>1</v>
      </c>
      <c r="H22" s="42">
        <f t="shared" si="5"/>
        <v>0.00008183289180123786</v>
      </c>
      <c r="I22" s="42">
        <f t="shared" si="4"/>
        <v>0.00006632583901875412</v>
      </c>
      <c r="J22" s="32">
        <v>15089</v>
      </c>
      <c r="K22" s="50">
        <v>91.14</v>
      </c>
      <c r="L22" s="51">
        <v>45910</v>
      </c>
      <c r="M22" s="34"/>
      <c r="N22" s="34"/>
      <c r="O22" s="34"/>
      <c r="P22" s="34"/>
      <c r="Q22" s="34"/>
      <c r="R22" s="35"/>
    </row>
    <row r="23" spans="2:18" x14ac:dyDescent="0.25">
      <c r="B23" s="28">
        <v>343</v>
      </c>
      <c r="C23" s="29" t="s">
        <v>32</v>
      </c>
      <c r="D23" s="30">
        <v>200</v>
      </c>
      <c r="E23" s="29">
        <v>0.09</v>
      </c>
      <c r="F23" s="31">
        <f t="shared" si="3"/>
        <v>18</v>
      </c>
      <c r="H23" s="42">
        <f t="shared" si="5"/>
        <v>0.0014729920524222814</v>
      </c>
      <c r="I23" s="42">
        <f t="shared" si="4"/>
        <v>0.001193865102337574</v>
      </c>
      <c r="J23" s="32">
        <v>15447</v>
      </c>
      <c r="K23" s="50">
        <v>211.06</v>
      </c>
      <c r="L23" s="51">
        <v>45932</v>
      </c>
      <c r="M23" s="34"/>
      <c r="N23" s="34"/>
      <c r="O23" s="34"/>
      <c r="P23" s="34"/>
      <c r="Q23" s="34"/>
      <c r="R23" s="35"/>
    </row>
    <row r="24" spans="2:18" x14ac:dyDescent="0.25">
      <c r="B24" s="28"/>
      <c r="C24" s="29"/>
      <c r="D24" s="30"/>
      <c r="E24" s="29"/>
      <c r="F24" s="31"/>
      <c r="H24" s="42">
        <f t="shared" si="5"/>
        <v>0</v>
      </c>
      <c r="I24" s="42">
        <f t="shared" si="4"/>
        <v>0</v>
      </c>
      <c r="J24" s="32"/>
      <c r="K24" s="50"/>
      <c r="L24" s="33"/>
      <c r="M24" s="34"/>
      <c r="N24" s="34"/>
      <c r="O24" s="34"/>
      <c r="P24" s="34"/>
      <c r="Q24" s="34"/>
      <c r="R24" s="35"/>
    </row>
    <row r="25" spans="2:18" x14ac:dyDescent="0.25">
      <c r="B25" s="28"/>
      <c r="C25" s="29"/>
      <c r="D25" s="30"/>
      <c r="E25" s="29"/>
      <c r="F25" s="31"/>
      <c r="H25" s="42">
        <f t="shared" si="5"/>
        <v>0</v>
      </c>
      <c r="I25" s="42">
        <f t="shared" si="4"/>
        <v>0</v>
      </c>
      <c r="J25" s="32"/>
      <c r="K25" s="50"/>
      <c r="L25" s="33"/>
      <c r="M25" s="34"/>
      <c r="N25" s="34"/>
      <c r="O25" s="34"/>
      <c r="P25" s="34"/>
      <c r="Q25" s="34"/>
      <c r="R25" s="35"/>
    </row>
    <row r="26" spans="2:18" x14ac:dyDescent="0.25">
      <c r="B26" s="52">
        <v>17</v>
      </c>
      <c r="C26" s="29" t="s">
        <v>33</v>
      </c>
      <c r="D26" s="30">
        <v>38000</v>
      </c>
      <c r="E26" s="29">
        <v>0.0013</v>
      </c>
      <c r="F26" s="31">
        <f t="shared" si="3"/>
        <v>49.4</v>
      </c>
      <c r="H26" s="42">
        <f t="shared" si="5"/>
        <v>0.00404254485498115</v>
      </c>
      <c r="I26" s="42">
        <f t="shared" si="4"/>
        <v>0.0032764964475264532</v>
      </c>
      <c r="J26" s="32">
        <v>14935</v>
      </c>
      <c r="K26" s="50">
        <v>38000</v>
      </c>
      <c r="L26" s="51">
        <v>45902</v>
      </c>
      <c r="M26" s="34"/>
      <c r="N26" s="34"/>
      <c r="O26" s="34"/>
      <c r="P26" s="34"/>
      <c r="Q26" s="34"/>
      <c r="R26" s="35"/>
    </row>
    <row r="27" spans="2:18" x14ac:dyDescent="0.25">
      <c r="B27" s="28"/>
      <c r="C27" s="29"/>
      <c r="D27" s="30"/>
      <c r="E27" s="29"/>
      <c r="F27" s="31"/>
      <c r="H27" s="42">
        <f t="shared" si="5"/>
        <v>0</v>
      </c>
      <c r="I27" s="42">
        <f t="shared" si="4"/>
        <v>0</v>
      </c>
      <c r="J27" s="32"/>
      <c r="K27" s="50"/>
      <c r="L27" s="33"/>
      <c r="M27" s="34"/>
      <c r="N27" s="34"/>
      <c r="O27" s="34"/>
      <c r="P27" s="34"/>
      <c r="Q27" s="34"/>
      <c r="R27" s="35"/>
    </row>
    <row r="28" spans="2:18" x14ac:dyDescent="0.25">
      <c r="B28" s="28">
        <v>4019</v>
      </c>
      <c r="C28" s="29" t="s">
        <v>34</v>
      </c>
      <c r="D28" s="30">
        <v>98</v>
      </c>
      <c r="E28" s="29">
        <v>1</v>
      </c>
      <c r="F28" s="31">
        <f t="shared" si="3"/>
        <v>98</v>
      </c>
      <c r="H28" s="42">
        <f t="shared" si="5"/>
        <v>0.00801962339652131</v>
      </c>
      <c r="I28" s="42">
        <f t="shared" si="4"/>
        <v>0.006499932223837903</v>
      </c>
      <c r="J28" s="32">
        <v>18657</v>
      </c>
      <c r="K28" s="50">
        <v>96.64</v>
      </c>
      <c r="L28" s="51">
        <v>46214</v>
      </c>
      <c r="M28" s="34"/>
      <c r="N28" s="34"/>
      <c r="O28" s="34"/>
      <c r="P28" s="34"/>
      <c r="Q28" s="34"/>
      <c r="R28" s="35"/>
    </row>
    <row r="29" spans="2:18" x14ac:dyDescent="0.25">
      <c r="B29" s="28"/>
      <c r="C29" s="29"/>
      <c r="D29" s="30"/>
      <c r="E29" s="29"/>
      <c r="F29" s="31"/>
      <c r="H29" s="42">
        <f t="shared" si="5"/>
        <v>0</v>
      </c>
      <c r="I29" s="42">
        <f t="shared" si="4"/>
        <v>0</v>
      </c>
      <c r="J29" s="32"/>
      <c r="K29" s="50"/>
      <c r="L29" s="33"/>
      <c r="M29" s="34"/>
      <c r="N29" s="34"/>
      <c r="O29" s="34"/>
      <c r="P29" s="34"/>
      <c r="Q29" s="34"/>
      <c r="R29" s="35"/>
    </row>
    <row r="30" spans="2:18" x14ac:dyDescent="0.25">
      <c r="B30" s="28">
        <v>3586</v>
      </c>
      <c r="C30" s="29" t="s">
        <v>35</v>
      </c>
      <c r="D30" s="30">
        <v>12</v>
      </c>
      <c r="E30" s="29">
        <v>1</v>
      </c>
      <c r="F30" s="31">
        <f t="shared" si="3"/>
        <v>12</v>
      </c>
      <c r="H30" s="42">
        <f t="shared" si="5"/>
        <v>0.0009819947016148542</v>
      </c>
      <c r="I30" s="42">
        <f t="shared" si="4"/>
        <v>0.0007959100682250493</v>
      </c>
      <c r="J30" s="32">
        <v>15054</v>
      </c>
      <c r="K30" s="50">
        <v>11.26</v>
      </c>
      <c r="L30" s="51">
        <v>45909</v>
      </c>
      <c r="M30" s="34"/>
      <c r="N30" s="34"/>
      <c r="O30" s="34"/>
      <c r="P30" s="34"/>
      <c r="Q30" s="34"/>
      <c r="R30" s="35"/>
    </row>
    <row r="31" spans="2:18" x14ac:dyDescent="0.25">
      <c r="B31" s="28"/>
      <c r="C31" s="29"/>
      <c r="D31" s="30"/>
      <c r="E31" s="29"/>
      <c r="F31" s="31"/>
      <c r="H31" s="42">
        <f t="shared" si="5"/>
        <v>0</v>
      </c>
      <c r="I31" s="42">
        <f t="shared" si="4"/>
        <v>0</v>
      </c>
      <c r="J31" s="32"/>
      <c r="K31" s="50"/>
      <c r="L31" s="33"/>
      <c r="M31" s="34"/>
      <c r="N31" s="34"/>
      <c r="O31" s="34"/>
      <c r="P31" s="34"/>
      <c r="Q31" s="34"/>
      <c r="R31" s="35"/>
    </row>
    <row r="32" spans="2:18" x14ac:dyDescent="0.25">
      <c r="B32" s="28"/>
      <c r="C32" s="29"/>
      <c r="D32" s="30"/>
      <c r="E32" s="29"/>
      <c r="F32" s="31"/>
      <c r="H32" s="42">
        <f t="shared" si="5"/>
        <v>0</v>
      </c>
      <c r="I32" s="42">
        <f t="shared" si="4"/>
        <v>0</v>
      </c>
      <c r="J32" s="32"/>
      <c r="K32" s="50"/>
      <c r="L32" s="33"/>
      <c r="M32" s="34"/>
      <c r="N32" s="34"/>
      <c r="O32" s="34"/>
      <c r="P32" s="34"/>
      <c r="Q32" s="34"/>
      <c r="R32" s="35"/>
    </row>
    <row r="33" spans="2:18" x14ac:dyDescent="0.25">
      <c r="B33" s="28"/>
      <c r="C33" s="29"/>
      <c r="D33" s="30"/>
      <c r="E33" s="29"/>
      <c r="F33" s="31"/>
      <c r="H33" s="42">
        <f t="shared" si="5"/>
        <v>0</v>
      </c>
      <c r="I33" s="42">
        <f t="shared" si="4"/>
        <v>0</v>
      </c>
      <c r="J33" s="32"/>
      <c r="K33" s="50"/>
      <c r="L33" s="33"/>
      <c r="M33" s="34"/>
      <c r="N33" s="34"/>
      <c r="O33" s="34"/>
      <c r="P33" s="34"/>
      <c r="Q33" s="34"/>
      <c r="R33" s="35"/>
    </row>
    <row r="34" spans="2:18" x14ac:dyDescent="0.25">
      <c r="B34" s="28"/>
      <c r="C34" s="29"/>
      <c r="D34" s="30"/>
      <c r="E34" s="29"/>
      <c r="F34" s="31"/>
      <c r="H34" s="42">
        <f t="shared" si="5"/>
        <v>0</v>
      </c>
      <c r="I34" s="42">
        <f t="shared" si="4"/>
        <v>0</v>
      </c>
      <c r="J34" s="32"/>
      <c r="K34" s="50"/>
      <c r="L34" s="33"/>
      <c r="M34" s="34"/>
      <c r="N34" s="34"/>
      <c r="O34" s="34"/>
      <c r="P34" s="34"/>
      <c r="Q34" s="34"/>
      <c r="R34" s="35"/>
    </row>
    <row r="35" spans="2:18" x14ac:dyDescent="0.25">
      <c r="B35" s="28"/>
      <c r="C35" s="29"/>
      <c r="D35" s="30"/>
      <c r="E35" s="29"/>
      <c r="F35" s="31"/>
      <c r="H35" s="42">
        <f t="shared" si="5"/>
        <v>0</v>
      </c>
      <c r="I35" s="42">
        <f t="shared" si="4"/>
        <v>0</v>
      </c>
      <c r="J35" s="32"/>
      <c r="K35" s="50"/>
      <c r="L35" s="33"/>
      <c r="M35" s="34"/>
      <c r="N35" s="34"/>
      <c r="O35" s="34"/>
      <c r="P35" s="34"/>
      <c r="Q35" s="34"/>
      <c r="R35" s="35"/>
    </row>
    <row r="36" spans="2:18" x14ac:dyDescent="0.25">
      <c r="B36" s="53"/>
      <c r="C36" s="54"/>
      <c r="D36" s="55"/>
      <c r="E36" s="54"/>
      <c r="F36" s="31"/>
      <c r="H36" s="42">
        <f>F36/$F$59</f>
        <v>0</v>
      </c>
      <c r="I36" s="42">
        <f t="shared" si="4"/>
        <v>0</v>
      </c>
      <c r="J36" s="32"/>
      <c r="K36" s="50"/>
      <c r="L36" s="33"/>
      <c r="M36" s="34"/>
      <c r="N36" s="34"/>
      <c r="O36" s="34"/>
      <c r="P36" s="34"/>
      <c r="Q36" s="34"/>
      <c r="R36" s="35"/>
    </row>
    <row r="37" spans="2:18" x14ac:dyDescent="0.25">
      <c r="B37" s="53"/>
      <c r="C37" s="54" t="s">
        <v>36</v>
      </c>
      <c r="D37" s="55">
        <v>250</v>
      </c>
      <c r="E37" s="54">
        <v>1</v>
      </c>
      <c r="F37" s="31">
        <f t="shared" si="3"/>
        <v>250</v>
      </c>
      <c r="H37" s="42">
        <f>F37/$F$59</f>
        <v>0.020458222950309465</v>
      </c>
      <c r="I37" s="42">
        <f t="shared" si="4"/>
        <v>0.01658145975468853</v>
      </c>
      <c r="J37" s="32"/>
      <c r="K37" s="33"/>
      <c r="L37" s="33"/>
      <c r="M37" s="34"/>
      <c r="N37" s="34"/>
      <c r="O37" s="34"/>
      <c r="P37" s="34"/>
      <c r="Q37" s="34"/>
      <c r="R37" s="35"/>
    </row>
    <row r="38" ht="15.75" customHeight="1" spans="2:18" x14ac:dyDescent="0.25">
      <c r="B38" s="36"/>
      <c r="C38" s="37"/>
      <c r="D38" s="56"/>
      <c r="E38" s="37"/>
      <c r="F38" s="31"/>
      <c r="H38" s="42">
        <f t="shared" si="5"/>
        <v>0</v>
      </c>
      <c r="I38" s="42">
        <f t="shared" si="4"/>
        <v>0</v>
      </c>
      <c r="J38" s="32"/>
      <c r="K38" s="33"/>
      <c r="L38" s="33"/>
      <c r="M38" s="34"/>
      <c r="N38" s="34"/>
      <c r="O38" s="34"/>
      <c r="P38" s="34"/>
      <c r="Q38" s="34"/>
      <c r="R38" s="35"/>
    </row>
    <row r="39" ht="15.75" customHeight="1" spans="6:18" x14ac:dyDescent="0.25">
      <c r="F39" s="57">
        <f>SUM(F19:F38)</f>
        <v>608.4</v>
      </c>
      <c r="H39" s="58">
        <f>F39/$F$59</f>
        <v>0.04978713137187311</v>
      </c>
      <c r="I39" s="58">
        <f>F39/$D$74</f>
        <v>0.04035264045901</v>
      </c>
      <c r="J39" s="38"/>
      <c r="K39" s="39"/>
      <c r="L39" s="39"/>
      <c r="M39" s="40"/>
      <c r="N39" s="40"/>
      <c r="O39" s="40"/>
      <c r="P39" s="40"/>
      <c r="Q39" s="40"/>
      <c r="R39" s="41"/>
    </row>
    <row r="40" ht="15.75" customHeight="1" spans="8:9" x14ac:dyDescent="0.25">
      <c r="H40" s="58"/>
      <c r="I40" s="58"/>
    </row>
    <row r="41" ht="15.75" customHeight="1" spans="2:9" x14ac:dyDescent="0.25">
      <c r="B41" s="59" t="s">
        <v>37</v>
      </c>
      <c r="C41" s="60"/>
      <c r="D41" s="60"/>
      <c r="E41" s="60"/>
      <c r="F41" s="61"/>
      <c r="H41" s="42"/>
      <c r="I41" s="42"/>
    </row>
    <row r="42" spans="2:9" x14ac:dyDescent="0.25">
      <c r="B42" s="62"/>
      <c r="C42" s="19" t="s">
        <v>38</v>
      </c>
      <c r="D42" s="19"/>
      <c r="E42" s="19"/>
      <c r="F42" s="21">
        <v>350</v>
      </c>
      <c r="H42" s="42">
        <f>F42/$F$59</f>
        <v>0.02864151213043325</v>
      </c>
      <c r="I42" s="42">
        <f>F42/$D$74</f>
        <v>0.02321404365656394</v>
      </c>
    </row>
    <row r="43" spans="2:9" x14ac:dyDescent="0.25">
      <c r="B43" s="62"/>
      <c r="C43" s="29"/>
      <c r="D43" s="29"/>
      <c r="E43" s="29"/>
      <c r="F43" s="31"/>
      <c r="H43" s="42">
        <f t="shared" ref="H43:H55" si="6">F43/$F$59</f>
        <v>0</v>
      </c>
      <c r="I43" s="42">
        <f t="shared" ref="I43:I55" si="7">F43/$D$74</f>
        <v>0</v>
      </c>
    </row>
    <row r="44" spans="2:9" x14ac:dyDescent="0.25">
      <c r="B44" s="62"/>
      <c r="C44" s="29" t="s">
        <v>39</v>
      </c>
      <c r="D44" s="29"/>
      <c r="E44" s="29"/>
      <c r="F44" s="21">
        <v>3710</v>
      </c>
      <c r="H44" s="42">
        <f t="shared" si="6"/>
        <v>0.30360002858259244</v>
      </c>
      <c r="I44" s="42">
        <f t="shared" si="7"/>
        <v>0.24606886275957776</v>
      </c>
    </row>
    <row r="45" spans="2:9" x14ac:dyDescent="0.25">
      <c r="B45" s="62"/>
      <c r="C45" s="29"/>
      <c r="D45" s="29"/>
      <c r="E45" s="29"/>
      <c r="F45" s="63"/>
      <c r="H45" s="42">
        <f t="shared" si="6"/>
        <v>0</v>
      </c>
      <c r="I45" s="42">
        <f t="shared" si="7"/>
        <v>0</v>
      </c>
    </row>
    <row r="46" spans="2:9" x14ac:dyDescent="0.25">
      <c r="B46" s="62"/>
      <c r="C46" s="29" t="s">
        <v>40</v>
      </c>
      <c r="D46" s="29"/>
      <c r="E46" s="29"/>
      <c r="F46" s="31">
        <v>126</v>
      </c>
      <c r="H46" s="42">
        <f t="shared" si="6"/>
        <v>0.01031094436695597</v>
      </c>
      <c r="I46" s="42">
        <f t="shared" si="7"/>
        <v>0.008357055716363018</v>
      </c>
    </row>
    <row r="47" spans="2:9" x14ac:dyDescent="0.25">
      <c r="B47" s="62"/>
      <c r="C47" s="29" t="s">
        <v>41</v>
      </c>
      <c r="D47" s="29"/>
      <c r="E47" s="29"/>
      <c r="F47" s="31">
        <v>103</v>
      </c>
      <c r="H47" s="42">
        <f t="shared" si="6"/>
        <v>0.0084287878555275</v>
      </c>
      <c r="I47" s="42">
        <f t="shared" si="7"/>
        <v>0.006831561418931674</v>
      </c>
    </row>
    <row r="48" spans="2:9" x14ac:dyDescent="0.25">
      <c r="B48" s="62"/>
      <c r="C48" s="29" t="s">
        <v>42</v>
      </c>
      <c r="D48" s="29"/>
      <c r="E48" s="29"/>
      <c r="F48" s="31">
        <v>60</v>
      </c>
      <c r="H48" s="42">
        <f t="shared" si="6"/>
        <v>0.004909973508074272</v>
      </c>
      <c r="I48" s="42">
        <f t="shared" si="7"/>
        <v>0.003979550341125247</v>
      </c>
    </row>
    <row r="49" spans="2:9" x14ac:dyDescent="0.25">
      <c r="B49" s="62"/>
      <c r="C49" s="29" t="s">
        <v>43</v>
      </c>
      <c r="D49" s="29"/>
      <c r="E49" s="29"/>
      <c r="F49" s="31">
        <v>20</v>
      </c>
      <c r="H49" s="42">
        <f t="shared" si="6"/>
        <v>0.0016366578360247571</v>
      </c>
      <c r="I49" s="42">
        <f t="shared" si="7"/>
        <v>0.0013265167803750823</v>
      </c>
    </row>
    <row r="50" spans="2:9" x14ac:dyDescent="0.25">
      <c r="B50" s="62"/>
      <c r="C50" s="29" t="s">
        <v>44</v>
      </c>
      <c r="D50" s="29"/>
      <c r="E50" s="29"/>
      <c r="F50" s="31">
        <v>480</v>
      </c>
      <c r="H50" s="42">
        <f t="shared" si="6"/>
        <v>0.03927978806459417</v>
      </c>
      <c r="I50" s="42">
        <f t="shared" si="7"/>
        <v>0.03183640272900198</v>
      </c>
    </row>
    <row r="51" spans="2:9" x14ac:dyDescent="0.25">
      <c r="B51" s="62"/>
      <c r="C51" s="29" t="s">
        <v>45</v>
      </c>
      <c r="D51" s="29"/>
      <c r="E51" s="29"/>
      <c r="F51" s="31">
        <f>(F24+F25+F47+F48+F49+F50+F46+F26+F27+F28+F29+F30)*0.1</f>
        <v>94.84</v>
      </c>
      <c r="H51" s="42">
        <f t="shared" si="6"/>
        <v>0.0077610314584293984</v>
      </c>
      <c r="I51" s="42">
        <f t="shared" si="7"/>
        <v>0.006290342572538641</v>
      </c>
    </row>
    <row r="52" spans="2:9" x14ac:dyDescent="0.25">
      <c r="B52" s="62"/>
      <c r="C52" s="29" t="s">
        <v>46</v>
      </c>
      <c r="D52" s="29"/>
      <c r="E52" s="29"/>
      <c r="F52" s="31">
        <v>215</v>
      </c>
      <c r="H52" s="42">
        <f t="shared" si="6"/>
        <v>0.01759407173726614</v>
      </c>
      <c r="I52" s="42">
        <f t="shared" si="7"/>
        <v>0.014260055389032135</v>
      </c>
    </row>
    <row r="53" spans="2:9" x14ac:dyDescent="0.25">
      <c r="B53" s="62"/>
      <c r="C53" s="54"/>
      <c r="D53" s="54"/>
      <c r="E53" s="54"/>
      <c r="F53" s="63"/>
      <c r="H53" s="42">
        <f t="shared" si="6"/>
        <v>0</v>
      </c>
      <c r="I53" s="42">
        <f t="shared" si="7"/>
        <v>0</v>
      </c>
    </row>
    <row r="54" spans="2:9" x14ac:dyDescent="0.25">
      <c r="B54" s="62"/>
      <c r="C54" s="54"/>
      <c r="D54" s="54"/>
      <c r="E54" s="54"/>
      <c r="F54" s="63"/>
      <c r="H54" s="42">
        <f t="shared" si="6"/>
        <v>0</v>
      </c>
      <c r="I54" s="42">
        <f t="shared" si="7"/>
        <v>0</v>
      </c>
    </row>
    <row r="55" ht="15.75" customHeight="1" spans="2:9" x14ac:dyDescent="0.25">
      <c r="B55" s="64"/>
      <c r="C55" s="37"/>
      <c r="D55" s="37"/>
      <c r="E55" s="37"/>
      <c r="F55" s="43"/>
      <c r="H55" s="42">
        <f t="shared" si="6"/>
        <v>0</v>
      </c>
      <c r="I55" s="42">
        <f t="shared" si="7"/>
        <v>0</v>
      </c>
    </row>
    <row r="56" ht="15.75" customHeight="1" spans="6:9" x14ac:dyDescent="0.25">
      <c r="F56" s="57">
        <f>SUM(F42:F55)</f>
        <v>5158.84</v>
      </c>
      <c r="H56" s="58">
        <f>F56/$F$59</f>
        <v>0.42216279553989794</v>
      </c>
      <c r="I56" s="58">
        <f>F56/$D$74</f>
        <v>0.3421643913635095</v>
      </c>
    </row>
    <row r="57" ht="15.75" customHeight="1" spans="8:9" x14ac:dyDescent="0.25">
      <c r="H57" s="42"/>
      <c r="I57" s="42"/>
    </row>
    <row r="58" ht="15.75" customHeight="1" spans="2:9" x14ac:dyDescent="0.25">
      <c r="B58" s="59" t="s">
        <v>47</v>
      </c>
      <c r="C58" s="60"/>
      <c r="D58" s="60"/>
      <c r="E58" s="60"/>
      <c r="F58" s="61"/>
      <c r="H58" s="42"/>
      <c r="I58" s="42"/>
    </row>
    <row r="59" ht="15.75" customHeight="1" spans="2:17" x14ac:dyDescent="0.25">
      <c r="B59" s="65"/>
      <c r="C59" s="66" t="s">
        <v>48</v>
      </c>
      <c r="D59" s="67"/>
      <c r="E59" s="67"/>
      <c r="F59" s="68">
        <f>F15+F39+F56</f>
        <v>12220.0252</v>
      </c>
      <c r="H59" s="42"/>
      <c r="I59" s="58">
        <f>F59/$D$74</f>
        <v>0.8105034242203185</v>
      </c>
      <c r="J59" s="69" t="s">
        <v>49</v>
      </c>
      <c r="K59" s="70"/>
      <c r="L59" s="70"/>
      <c r="M59" s="70"/>
      <c r="N59" s="70"/>
      <c r="O59" s="70"/>
      <c r="P59" s="70"/>
      <c r="Q59" s="71"/>
    </row>
    <row r="60" spans="2:17" x14ac:dyDescent="0.25">
      <c r="B60" s="32"/>
      <c r="C60" s="33" t="s">
        <v>50</v>
      </c>
      <c r="D60" s="72"/>
      <c r="E60" s="72"/>
      <c r="F60" s="73">
        <f>(F59*1.5%)+F59</f>
        <v>12403.325578</v>
      </c>
      <c r="H60" s="58"/>
      <c r="I60" s="42">
        <f t="shared" ref="I60:I65" si="8">F60/$D$74</f>
        <v>0.8226609755836233</v>
      </c>
      <c r="J60" s="65" t="s">
        <v>51</v>
      </c>
      <c r="K60" s="74">
        <f>F60</f>
        <v>12403.325578</v>
      </c>
      <c r="L60" s="75"/>
      <c r="M60" s="65" t="s">
        <v>51</v>
      </c>
      <c r="N60" s="74">
        <f>F60</f>
        <v>12403.325578</v>
      </c>
      <c r="O60" s="75"/>
      <c r="P60" s="65" t="s">
        <v>51</v>
      </c>
      <c r="Q60" s="74">
        <f>F60</f>
        <v>12403.325578</v>
      </c>
    </row>
    <row r="61" spans="2:17" x14ac:dyDescent="0.25">
      <c r="B61" s="32"/>
      <c r="C61" s="33" t="s">
        <v>52</v>
      </c>
      <c r="D61" s="72"/>
      <c r="E61" s="72"/>
      <c r="F61" s="76">
        <f>F60*0.005</f>
        <v>62.01662789</v>
      </c>
      <c r="I61" s="42">
        <f t="shared" si="8"/>
        <v>0.004113304877918117</v>
      </c>
      <c r="J61" s="32" t="s">
        <v>53</v>
      </c>
      <c r="K61" s="77">
        <f>K73</f>
        <v>16016.705026760688</v>
      </c>
      <c r="L61" s="75"/>
      <c r="M61" s="32" t="s">
        <v>53</v>
      </c>
      <c r="N61" s="77">
        <f>N73</f>
        <v>18655.46218487395</v>
      </c>
      <c r="O61" s="75"/>
      <c r="P61" s="32" t="s">
        <v>53</v>
      </c>
      <c r="Q61" s="77">
        <f>Q73</f>
        <v>16215.869775422652</v>
      </c>
    </row>
    <row r="62" spans="2:17" x14ac:dyDescent="0.25">
      <c r="B62" s="32"/>
      <c r="C62" s="33" t="s">
        <v>54</v>
      </c>
      <c r="D62" s="72"/>
      <c r="E62" s="72"/>
      <c r="F62" s="76">
        <f>F60*0.004</f>
        <v>49.613302312</v>
      </c>
      <c r="I62" s="42">
        <f t="shared" si="8"/>
        <v>0.0032906439023344934</v>
      </c>
      <c r="J62" s="32" t="s">
        <v>55</v>
      </c>
      <c r="K62" s="77">
        <f>K61-K60</f>
        <v>3613.3794487606883</v>
      </c>
      <c r="L62" s="75"/>
      <c r="M62" s="32" t="s">
        <v>55</v>
      </c>
      <c r="N62" s="77">
        <f>N61-N60</f>
        <v>6252.136606873952</v>
      </c>
      <c r="O62" s="75"/>
      <c r="P62" s="32" t="s">
        <v>55</v>
      </c>
      <c r="Q62" s="77">
        <f>Q61-Q60</f>
        <v>3812.5441974226524</v>
      </c>
    </row>
    <row r="63" ht="15.75" customHeight="1" spans="2:17" x14ac:dyDescent="0.25">
      <c r="B63" s="32"/>
      <c r="C63" s="33" t="s">
        <v>56</v>
      </c>
      <c r="D63" s="72"/>
      <c r="E63" s="72"/>
      <c r="F63" s="76">
        <f>F60*1.25%</f>
        <v>155.04156972500002</v>
      </c>
      <c r="I63" s="42">
        <f t="shared" si="8"/>
        <v>0.010283262194795292</v>
      </c>
      <c r="J63" s="38" t="s">
        <v>57</v>
      </c>
      <c r="K63" s="78">
        <f>K62/K61</f>
        <v>0.22560067396655298</v>
      </c>
      <c r="L63" s="75"/>
      <c r="M63" s="38" t="s">
        <v>57</v>
      </c>
      <c r="N63" s="78">
        <f>N62/N61</f>
        <v>0.33513705235045055</v>
      </c>
      <c r="O63" s="75"/>
      <c r="P63" s="38" t="s">
        <v>57</v>
      </c>
      <c r="Q63" s="78">
        <f>Q62/Q61</f>
        <v>0.23511191506983362</v>
      </c>
    </row>
    <row r="64" spans="2:9" x14ac:dyDescent="0.25">
      <c r="B64" s="32"/>
      <c r="C64" s="33" t="s">
        <v>58</v>
      </c>
      <c r="D64" s="72"/>
      <c r="E64" s="72"/>
      <c r="F64" s="76">
        <f>F60*0.6%</f>
        <v>74.419953468</v>
      </c>
      <c r="I64" s="42">
        <f t="shared" si="8"/>
        <v>0.00493596585350174</v>
      </c>
    </row>
    <row r="65" ht="15.75" customHeight="1" spans="2:9" x14ac:dyDescent="0.25">
      <c r="B65" s="38"/>
      <c r="C65" s="39" t="s">
        <v>59</v>
      </c>
      <c r="D65" s="79"/>
      <c r="E65" s="79"/>
      <c r="F65" s="80">
        <f>F60*1%</f>
        <v>124.03325578</v>
      </c>
      <c r="I65" s="42">
        <f t="shared" si="8"/>
        <v>0.008226609755836233</v>
      </c>
    </row>
    <row r="66" ht="15.75" customHeight="1" spans="9:9" x14ac:dyDescent="0.25">
      <c r="I66" s="42"/>
    </row>
    <row r="67" spans="2:17" x14ac:dyDescent="0.25">
      <c r="B67" s="23"/>
      <c r="C67" s="81" t="s">
        <v>60</v>
      </c>
      <c r="D67" s="48"/>
      <c r="E67" s="48"/>
      <c r="F67" s="82">
        <v>74</v>
      </c>
      <c r="I67" s="42">
        <f>F67/$D$74</f>
        <v>0.0049081120873878045</v>
      </c>
      <c r="K67" s="42">
        <f>K63-K76</f>
        <v>0.175600673966553</v>
      </c>
      <c r="L67" s="75"/>
      <c r="M67" s="75"/>
      <c r="N67" s="42">
        <f>N63-N76</f>
        <v>0.1507625042762593</v>
      </c>
      <c r="O67" s="75"/>
      <c r="P67" s="75"/>
      <c r="Q67" s="42">
        <f>Q63-Q76</f>
        <v>0.17344393093766974</v>
      </c>
    </row>
    <row r="68" spans="2:9" x14ac:dyDescent="0.25">
      <c r="B68" s="32"/>
      <c r="C68" s="33" t="s">
        <v>61</v>
      </c>
      <c r="D68" s="72"/>
      <c r="E68" s="72"/>
      <c r="F68" s="83">
        <v>400</v>
      </c>
      <c r="I68" s="42">
        <f t="shared" ref="I68:I73" si="9">F68/$D$74</f>
        <v>0.026530335607501645</v>
      </c>
    </row>
    <row r="69" spans="2:9" x14ac:dyDescent="0.25">
      <c r="B69" s="32"/>
      <c r="C69" s="33" t="s">
        <v>62</v>
      </c>
      <c r="D69" s="72"/>
      <c r="E69" s="72"/>
      <c r="F69" s="84">
        <v>700</v>
      </c>
      <c r="I69" s="42">
        <f t="shared" si="9"/>
        <v>0.04642808731312788</v>
      </c>
    </row>
    <row r="70" ht="15.75" customHeight="1" spans="2:9" x14ac:dyDescent="0.25">
      <c r="B70" s="85"/>
      <c r="C70" s="33" t="s">
        <v>63</v>
      </c>
      <c r="D70" s="72"/>
      <c r="E70" s="72"/>
      <c r="F70" s="84">
        <v>170.63</v>
      </c>
      <c r="I70" s="42">
        <f t="shared" si="9"/>
        <v>0.011317177911770015</v>
      </c>
    </row>
    <row r="71" ht="15.75" customHeight="1" spans="2:17" x14ac:dyDescent="0.25">
      <c r="B71" s="32"/>
      <c r="C71" s="33" t="s">
        <v>64</v>
      </c>
      <c r="D71" s="72"/>
      <c r="E71" s="72"/>
      <c r="F71" s="83">
        <v>44</v>
      </c>
      <c r="I71" s="42">
        <f t="shared" si="9"/>
        <v>0.002918336916825181</v>
      </c>
      <c r="J71" s="69" t="s">
        <v>65</v>
      </c>
      <c r="K71" s="70"/>
      <c r="L71" s="70"/>
      <c r="M71" s="70"/>
      <c r="N71" s="70"/>
      <c r="O71" s="70"/>
      <c r="P71" s="70"/>
      <c r="Q71" s="71"/>
    </row>
    <row r="72" spans="2:17" x14ac:dyDescent="0.25">
      <c r="B72" s="32"/>
      <c r="C72" s="33" t="s">
        <v>66</v>
      </c>
      <c r="D72" s="72"/>
      <c r="E72" s="72"/>
      <c r="F72" s="83">
        <v>220</v>
      </c>
      <c r="I72" s="42">
        <f t="shared" si="9"/>
        <v>0.014591684584125904</v>
      </c>
      <c r="J72" s="65" t="s">
        <v>51</v>
      </c>
      <c r="K72" s="74">
        <f>D74+Q92</f>
        <v>15215.869775422652</v>
      </c>
      <c r="L72" s="75"/>
      <c r="M72" s="65" t="s">
        <v>51</v>
      </c>
      <c r="N72" s="74">
        <f>D74+Q92</f>
        <v>15215.869775422652</v>
      </c>
      <c r="O72" s="75"/>
      <c r="P72" s="65" t="s">
        <v>51</v>
      </c>
      <c r="Q72" s="74">
        <f>D74+Q92</f>
        <v>15215.869775422652</v>
      </c>
    </row>
    <row r="73" ht="15.75" customHeight="1" spans="2:17" x14ac:dyDescent="0.25">
      <c r="B73" s="38"/>
      <c r="C73" s="39" t="s">
        <v>67</v>
      </c>
      <c r="D73" s="79"/>
      <c r="E73" s="79"/>
      <c r="F73" s="86">
        <v>600</v>
      </c>
      <c r="I73" s="42">
        <f t="shared" si="9"/>
        <v>0.039795503411252466</v>
      </c>
      <c r="J73" s="32" t="s">
        <v>53</v>
      </c>
      <c r="K73" s="77">
        <f>K72/(1-K76)</f>
        <v>16016.705026760688</v>
      </c>
      <c r="L73" s="75"/>
      <c r="M73" s="32" t="s">
        <v>53</v>
      </c>
      <c r="N73" s="87">
        <f>22200/1.19</f>
        <v>18655.46218487395</v>
      </c>
      <c r="O73" s="75"/>
      <c r="P73" s="32" t="s">
        <v>53</v>
      </c>
      <c r="Q73" s="77">
        <f>Q72+Q74</f>
        <v>16215.869775422652</v>
      </c>
    </row>
    <row r="74" ht="15.75" customHeight="1" spans="2:17" x14ac:dyDescent="0.25">
      <c r="B74" s="88" t="s">
        <v>68</v>
      </c>
      <c r="C74" s="88"/>
      <c r="D74" s="89">
        <f>SUM(F60:F65)+SUM(F67:F73)</f>
        <v>15077.080287174998</v>
      </c>
      <c r="E74" s="90"/>
      <c r="F74" s="91"/>
      <c r="J74" s="32" t="s">
        <v>69</v>
      </c>
      <c r="K74" s="77">
        <f>K73-K72</f>
        <v>800.835251338036</v>
      </c>
      <c r="L74" s="75"/>
      <c r="M74" s="32" t="s">
        <v>69</v>
      </c>
      <c r="N74" s="77">
        <f>N73-N72</f>
        <v>3439.5924094512993</v>
      </c>
      <c r="O74" s="75"/>
      <c r="P74" s="32" t="s">
        <v>69</v>
      </c>
      <c r="Q74" s="87">
        <v>1000</v>
      </c>
    </row>
    <row r="75" ht="15.75" customHeight="1" spans="10:17" x14ac:dyDescent="0.25">
      <c r="J75" s="92" t="s">
        <v>70</v>
      </c>
      <c r="K75" s="93">
        <f>K73*1.19</f>
        <v>19059.878981845217</v>
      </c>
      <c r="L75" s="75"/>
      <c r="M75" s="92" t="s">
        <v>70</v>
      </c>
      <c r="N75" s="93">
        <f>N73*1.19</f>
        <v>22200</v>
      </c>
      <c r="O75" s="75"/>
      <c r="P75" s="92" t="s">
        <v>70</v>
      </c>
      <c r="Q75" s="93">
        <f>Q73*1.19</f>
        <v>19296.885032752954</v>
      </c>
    </row>
    <row r="76" ht="15.75" customHeight="1" spans="2:17" x14ac:dyDescent="0.25">
      <c r="B76" s="94" t="s">
        <v>71</v>
      </c>
      <c r="C76" s="95"/>
      <c r="D76" s="95"/>
      <c r="E76" s="95"/>
      <c r="F76" s="96">
        <v>0.93621</v>
      </c>
      <c r="J76" s="38" t="s">
        <v>57</v>
      </c>
      <c r="K76" s="97">
        <v>0.05</v>
      </c>
      <c r="L76" s="75"/>
      <c r="M76" s="38" t="s">
        <v>57</v>
      </c>
      <c r="N76" s="78">
        <f>N74/N73</f>
        <v>0.18437454807419124</v>
      </c>
      <c r="O76" s="75"/>
      <c r="P76" s="38" t="s">
        <v>57</v>
      </c>
      <c r="Q76" s="78">
        <f>Q74/Q73</f>
        <v>0.06166798413216388</v>
      </c>
    </row>
    <row r="77" spans="2:6" x14ac:dyDescent="0.25">
      <c r="B77" s="98" t="s">
        <v>72</v>
      </c>
      <c r="C77" s="99"/>
      <c r="D77" s="99"/>
      <c r="E77" s="99"/>
      <c r="F77" s="100">
        <f>F78-D74</f>
        <v>1027.2983107624295</v>
      </c>
    </row>
    <row r="78" spans="2:6" x14ac:dyDescent="0.25">
      <c r="B78" s="98" t="s">
        <v>73</v>
      </c>
      <c r="C78" s="99"/>
      <c r="D78" s="99"/>
      <c r="E78" s="99"/>
      <c r="F78" s="101">
        <f>D74/F76</f>
        <v>16104.378597937428</v>
      </c>
    </row>
    <row r="79" spans="2:6" x14ac:dyDescent="0.25">
      <c r="B79" s="98" t="s">
        <v>74</v>
      </c>
      <c r="C79" s="99"/>
      <c r="D79" s="99"/>
      <c r="E79" s="99"/>
      <c r="F79" s="100">
        <f>+F78*19%</f>
        <v>3059.8319336081113</v>
      </c>
    </row>
    <row r="80" ht="15.75" customHeight="1" spans="2:17" x14ac:dyDescent="0.25">
      <c r="B80" s="102" t="s">
        <v>75</v>
      </c>
      <c r="C80" s="103"/>
      <c r="D80" s="103"/>
      <c r="E80" s="103"/>
      <c r="F80" s="104">
        <f>F78+F79</f>
        <v>19164.21053154554</v>
      </c>
      <c r="J80" s="75" t="s">
        <v>71</v>
      </c>
      <c r="K80" s="105">
        <f>1-((K73-D74)/K73)</f>
        <v>0.9413347041095053</v>
      </c>
      <c r="L80" s="75"/>
      <c r="M80" s="75" t="s">
        <v>71</v>
      </c>
      <c r="N80" s="105">
        <f>1-((N73-D74)/N73)</f>
        <v>0.8081858352134346</v>
      </c>
      <c r="O80" s="75"/>
      <c r="P80" s="75" t="s">
        <v>71</v>
      </c>
      <c r="Q80" s="105">
        <f>1-((Q73-D74)/Q73)</f>
        <v>0.9297731479088687</v>
      </c>
    </row>
    <row r="81" ht="15.75" customHeight="1" x14ac:dyDescent="0.25"/>
    <row r="82" spans="2:6" x14ac:dyDescent="0.25">
      <c r="B82" s="106" t="s">
        <v>76</v>
      </c>
      <c r="C82" s="107"/>
      <c r="D82" s="107"/>
      <c r="E82" s="107"/>
      <c r="F82" s="108">
        <f>D74+Q92</f>
        <v>15215.869775422652</v>
      </c>
    </row>
    <row r="83" spans="2:6" x14ac:dyDescent="0.25">
      <c r="B83" s="109" t="s">
        <v>73</v>
      </c>
      <c r="C83" s="110"/>
      <c r="D83" s="110"/>
      <c r="E83" s="110"/>
      <c r="F83" s="111">
        <f>F78</f>
        <v>16104.378597937428</v>
      </c>
    </row>
    <row r="84" ht="15.75" customHeight="1" spans="2:6" x14ac:dyDescent="0.25">
      <c r="B84" s="112" t="s">
        <v>77</v>
      </c>
      <c r="C84" s="113"/>
      <c r="D84" s="113"/>
      <c r="E84" s="113"/>
      <c r="F84" s="114">
        <f>(F83-F82)/F83</f>
        <v>0.055171878698167934</v>
      </c>
    </row>
    <row r="85" ht="15.75" customHeight="1" x14ac:dyDescent="0.25"/>
    <row r="86" ht="15.75" customHeight="1" spans="12:16" x14ac:dyDescent="0.25">
      <c r="L86" s="115" t="s">
        <v>78</v>
      </c>
      <c r="M86" s="116"/>
      <c r="N86" s="116"/>
      <c r="O86" s="116"/>
      <c r="P86" s="117"/>
    </row>
    <row r="87" spans="12:16" x14ac:dyDescent="0.25">
      <c r="L87" s="65" t="s">
        <v>52</v>
      </c>
      <c r="M87" s="66"/>
      <c r="N87" s="118">
        <f>$F$78*0.005</f>
        <v>80.52189298968715</v>
      </c>
      <c r="O87" s="118"/>
      <c r="P87" s="74"/>
    </row>
    <row r="88" spans="12:16" x14ac:dyDescent="0.25">
      <c r="L88" s="32" t="s">
        <v>54</v>
      </c>
      <c r="M88" s="33"/>
      <c r="N88" s="50">
        <f>$F$78*0.004</f>
        <v>64.41751439174972</v>
      </c>
      <c r="O88" s="50"/>
      <c r="P88" s="77"/>
    </row>
    <row r="89" spans="12:16" x14ac:dyDescent="0.25">
      <c r="L89" s="32" t="s">
        <v>59</v>
      </c>
      <c r="M89" s="33"/>
      <c r="N89" s="50">
        <f>$F$78*1%</f>
        <v>161.0437859793743</v>
      </c>
      <c r="O89" s="50"/>
      <c r="P89" s="77"/>
    </row>
    <row r="90" spans="12:16" x14ac:dyDescent="0.25">
      <c r="L90" s="32" t="s">
        <v>56</v>
      </c>
      <c r="M90" s="33"/>
      <c r="N90" s="50">
        <f>+F78*1.25%</f>
        <v>201.30473247421787</v>
      </c>
      <c r="O90" s="50"/>
      <c r="P90" s="77"/>
    </row>
    <row r="91" ht="15.75" customHeight="1" spans="12:16" x14ac:dyDescent="0.25">
      <c r="L91" s="38" t="s">
        <v>58</v>
      </c>
      <c r="M91" s="39"/>
      <c r="N91" s="119">
        <f>+F78*0.6%</f>
        <v>96.62627158762457</v>
      </c>
      <c r="O91" s="119"/>
      <c r="P91" s="120"/>
    </row>
    <row r="92" ht="15.75" customHeight="1" spans="12:17" x14ac:dyDescent="0.25">
      <c r="L92" s="75"/>
      <c r="M92" s="75"/>
      <c r="N92" s="121">
        <f>SUM(N87:P91)</f>
        <v>603.9141974226536</v>
      </c>
      <c r="O92" s="122"/>
      <c r="P92" s="123"/>
      <c r="Q92" s="124">
        <f>+N92-F61-F62-F63-F65-F64</f>
        <v>138.7894882476536</v>
      </c>
    </row>
  </sheetData>
  <mergeCells count="29">
    <mergeCell ref="B2:C2"/>
    <mergeCell ref="D2:F2"/>
    <mergeCell ref="B4:F4"/>
    <mergeCell ref="B17:F17"/>
    <mergeCell ref="B41:F41"/>
    <mergeCell ref="B58:F58"/>
    <mergeCell ref="J59:Q59"/>
    <mergeCell ref="J71:Q71"/>
    <mergeCell ref="B74:C74"/>
    <mergeCell ref="D74:F74"/>
    <mergeCell ref="B76:C76"/>
    <mergeCell ref="B77:C77"/>
    <mergeCell ref="B78:C78"/>
    <mergeCell ref="B79:C79"/>
    <mergeCell ref="B80:C80"/>
    <mergeCell ref="B82:C82"/>
    <mergeCell ref="B83:C83"/>
    <mergeCell ref="B84:C84"/>
    <mergeCell ref="L86:P86"/>
    <mergeCell ref="L87:M87"/>
    <mergeCell ref="N87:P87"/>
    <mergeCell ref="L88:M88"/>
    <mergeCell ref="N88:P88"/>
    <mergeCell ref="L89:M89"/>
    <mergeCell ref="N89:P89"/>
    <mergeCell ref="L90:M90"/>
    <mergeCell ref="N90:P90"/>
    <mergeCell ref="L91:M91"/>
    <mergeCell ref="N91:P91"/>
  </mergeCell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 5</dc:creator>
  <cp:lastModifiedBy>fredy alexander bautista contreras</cp:lastModifiedBy>
  <dcterms:created xsi:type="dcterms:W3CDTF">2025-10-06T14:16:34Z</dcterms:created>
  <dcterms:modified xsi:type="dcterms:W3CDTF">2026-09-30T20:45:06Z</dcterms:modified>
</cp:coreProperties>
</file>